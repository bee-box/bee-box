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de\bee-box\"/>
    </mc:Choice>
  </mc:AlternateContent>
  <xr:revisionPtr revIDLastSave="0" documentId="13_ncr:1_{24223C73-71DA-4A4C-9767-60EA56835768}" xr6:coauthVersionLast="47" xr6:coauthVersionMax="47" xr10:uidLastSave="{00000000-0000-0000-0000-000000000000}"/>
  <bookViews>
    <workbookView xWindow="-110" yWindow="-110" windowWidth="34620" windowHeight="13900" tabRatio="535" activeTab="2" xr2:uid="{43957078-BFE7-49D3-8D07-B4E052DA937A}"/>
  </bookViews>
  <sheets>
    <sheet name="WORKSHEET" sheetId="14" r:id="rId1"/>
    <sheet name="xml stats" sheetId="10" r:id="rId2"/>
    <sheet name="xml words" sheetId="11" r:id="rId3"/>
  </sheets>
  <definedNames>
    <definedName name="BLUE">#REF!</definedName>
    <definedName name="center" localSheetId="0">xml_stats[center]</definedName>
    <definedName name="center">xml_stats[center]</definedName>
    <definedName name="ExternalData_1" localSheetId="1" hidden="1">'xml stats'!$A$1:$AE$2</definedName>
    <definedName name="ExternalData_2" localSheetId="2" hidden="1">'xml words'!$A$1:$C$29</definedName>
    <definedName name="GREEN">#REF!</definedName>
    <definedName name="INDIGO">#REF!</definedName>
    <definedName name="ORANGE">#REF!</definedName>
    <definedName name="_xlnm.Print_Area" localSheetId="0">WORKSHEET!$A$1:$G$34</definedName>
    <definedName name="RED">#REF!</definedName>
    <definedName name="VIOLET">#REF!</definedName>
    <definedName name="YELLOW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44" i="11" l="1"/>
  <c r="Q45" i="11"/>
  <c r="Q46" i="11"/>
  <c r="Q47" i="11"/>
  <c r="Q48" i="11"/>
  <c r="Q49" i="11"/>
  <c r="Q50" i="11"/>
  <c r="G4" i="14" a="1"/>
  <c r="G4" i="14" s="1"/>
  <c r="F4" i="14" a="1"/>
  <c r="F4" i="14" s="1"/>
  <c r="F6" i="14" s="1"/>
  <c r="E4" i="14" a="1"/>
  <c r="E4" i="14" s="1"/>
  <c r="D4" i="14" a="1"/>
  <c r="D4" i="14" s="1"/>
  <c r="D13" i="14" s="1"/>
  <c r="C4" i="14" a="1"/>
  <c r="C4" i="14" s="1"/>
  <c r="C13" i="14" s="1"/>
  <c r="B4" i="14" a="1"/>
  <c r="B4" i="14" s="1"/>
  <c r="B10" i="14" s="1"/>
  <c r="A4" i="14" a="1"/>
  <c r="A4" i="14" s="1"/>
  <c r="A3" i="14"/>
  <c r="A2" i="14"/>
  <c r="A1" i="14" a="1"/>
  <c r="A1" i="14" s="1"/>
  <c r="J7" i="10" a="1"/>
  <c r="J7" i="10" s="1"/>
  <c r="J11" i="10" s="1"/>
  <c r="F15" i="11" a="1"/>
  <c r="F15" i="11" s="1"/>
  <c r="B8" i="10" a="1"/>
  <c r="B8" i="10" s="1"/>
  <c r="A14" i="14" a="1"/>
  <c r="G14" i="14" a="1"/>
  <c r="F14" i="14" a="1"/>
  <c r="C14" i="14" a="1"/>
  <c r="D14" i="14" a="1"/>
  <c r="B14" i="14" a="1"/>
  <c r="E14" i="14" a="1"/>
  <c r="A13" i="14" l="1"/>
  <c r="G13" i="14"/>
  <c r="F13" i="14"/>
  <c r="E13" i="14"/>
  <c r="B13" i="14"/>
  <c r="D14" i="14"/>
  <c r="A14" i="14"/>
  <c r="E14" i="14"/>
  <c r="B14" i="14"/>
  <c r="F14" i="14"/>
  <c r="C14" i="14"/>
  <c r="G14" i="14"/>
  <c r="E5" i="14"/>
  <c r="E6" i="14"/>
  <c r="E7" i="14"/>
  <c r="E8" i="14"/>
  <c r="E9" i="14"/>
  <c r="E10" i="14"/>
  <c r="E11" i="14"/>
  <c r="E12" i="14"/>
  <c r="A9" i="14"/>
  <c r="A10" i="14"/>
  <c r="A11" i="14"/>
  <c r="A12" i="14"/>
  <c r="A5" i="14"/>
  <c r="A6" i="14"/>
  <c r="A7" i="14"/>
  <c r="A8" i="14"/>
  <c r="G7" i="14"/>
  <c r="G8" i="14"/>
  <c r="G9" i="14"/>
  <c r="G10" i="14"/>
  <c r="G11" i="14"/>
  <c r="G12" i="14"/>
  <c r="G5" i="14"/>
  <c r="G6" i="14"/>
  <c r="C11" i="14"/>
  <c r="C12" i="14"/>
  <c r="C5" i="14"/>
  <c r="C6" i="14"/>
  <c r="C7" i="14"/>
  <c r="C8" i="14"/>
  <c r="C9" i="14"/>
  <c r="C10" i="14"/>
  <c r="D12" i="14"/>
  <c r="D5" i="14"/>
  <c r="D6" i="14"/>
  <c r="D7" i="14"/>
  <c r="D8" i="14"/>
  <c r="D9" i="14"/>
  <c r="D10" i="14"/>
  <c r="D11" i="14"/>
  <c r="F5" i="14"/>
  <c r="B9" i="14"/>
  <c r="B8" i="14"/>
  <c r="F12" i="14"/>
  <c r="B7" i="14"/>
  <c r="F11" i="14"/>
  <c r="B6" i="14"/>
  <c r="F10" i="14"/>
  <c r="B5" i="14"/>
  <c r="F9" i="14"/>
  <c r="F8" i="14"/>
  <c r="B12" i="14"/>
  <c r="F7" i="14"/>
  <c r="B11" i="14"/>
  <c r="J8" i="10"/>
  <c r="J10" i="10"/>
  <c r="J12" i="10"/>
  <c r="J13" i="10"/>
  <c r="J9" i="10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2300243-A00D-4D3C-AE69-129B654F7C3E}" keepAlive="1" name="Query - xml stats" description="Connection to the 'xml stats' query in the workbook." type="5" refreshedVersion="8" background="1" refreshOnLoad="1" saveData="1">
    <dbPr connection="Provider=Microsoft.Mashup.OleDb.1;Data Source=$Workbook$;Location=&quot;xml stats&quot;;Extended Properties=&quot;&quot;" command="SELECT * FROM [xml stats]"/>
  </connection>
  <connection id="2" xr16:uid="{92F2F58C-9431-404E-AF45-EB395D006C14}" keepAlive="1" name="Query - xml words" description="Connection to the 'xml words' query in the workbook." type="5" refreshedVersion="8" background="1" refreshOnLoad="1" saveData="1">
    <dbPr connection="Provider=Microsoft.Mashup.OleDb.1;Data Source=$Workbook$;Location=&quot;xml words&quot;;Extended Properties=&quot;&quot;" command="SELECT * FROM [xml words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<sst xmlns="http://schemas.openxmlformats.org/spreadsheetml/2006/main" count="107" uniqueCount="58">
  <si>
    <t>filedate</t>
  </si>
  <si>
    <t>longdate</t>
  </si>
  <si>
    <t>letters</t>
  </si>
  <si>
    <t>center</t>
  </si>
  <si>
    <t>letter1count</t>
  </si>
  <si>
    <t>letter2count</t>
  </si>
  <si>
    <t>letter3count</t>
  </si>
  <si>
    <t>letter4count</t>
  </si>
  <si>
    <t>letter5count</t>
  </si>
  <si>
    <t>letter6count</t>
  </si>
  <si>
    <t>wordcount</t>
  </si>
  <si>
    <t>pangramcount</t>
  </si>
  <si>
    <t>perfectpgcount</t>
  </si>
  <si>
    <t>bingo</t>
  </si>
  <si>
    <t>queenbee</t>
  </si>
  <si>
    <t>goodstart</t>
  </si>
  <si>
    <t>movingup</t>
  </si>
  <si>
    <t>good</t>
  </si>
  <si>
    <t>solid</t>
  </si>
  <si>
    <t>nice</t>
  </si>
  <si>
    <t>great</t>
  </si>
  <si>
    <t>amazing</t>
  </si>
  <si>
    <t>genius</t>
  </si>
  <si>
    <t>startswith</t>
  </si>
  <si>
    <t>wordlength</t>
  </si>
  <si>
    <t>firsttwoletters</t>
  </si>
  <si>
    <t>letter7count</t>
  </si>
  <si>
    <t>honeycomb1</t>
  </si>
  <si>
    <t>honeycomb2</t>
  </si>
  <si>
    <t>honeycomb3</t>
  </si>
  <si>
    <t>honeycomb4</t>
  </si>
  <si>
    <t>honeycomb5</t>
  </si>
  <si>
    <t>honeycomb6</t>
  </si>
  <si>
    <t>pangram</t>
  </si>
  <si>
    <t>A</t>
  </si>
  <si>
    <t>I</t>
  </si>
  <si>
    <t>H</t>
  </si>
  <si>
    <t>N</t>
  </si>
  <si>
    <t>HA</t>
  </si>
  <si>
    <t>ADEHINW</t>
  </si>
  <si>
    <t>A(1)</t>
  </si>
  <si>
    <t>D(2)</t>
  </si>
  <si>
    <t>E(0)</t>
  </si>
  <si>
    <t>H(18)</t>
  </si>
  <si>
    <t>I(0)</t>
  </si>
  <si>
    <t>N(0)</t>
  </si>
  <si>
    <t>W(7)</t>
  </si>
  <si>
    <t>D</t>
  </si>
  <si>
    <t>E</t>
  </si>
  <si>
    <t>W</t>
  </si>
  <si>
    <t>HEADWIND</t>
  </si>
  <si>
    <t>NO BINGO</t>
  </si>
  <si>
    <t>HE</t>
  </si>
  <si>
    <t>AH</t>
  </si>
  <si>
    <t>DE</t>
  </si>
  <si>
    <t>HI</t>
  </si>
  <si>
    <t>WA</t>
  </si>
  <si>
    <t>WH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</si>
</sst>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72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1" xfId="0" applyFont="1" applyFill="1" applyBorder="1" applyAlignment="1">
      <alignment horizontal="center" vertical="center" shrinkToFit="1"/>
    </xf>
    <xf numFmtId="0" fontId="1" fillId="0" borderId="0" xfId="0" applyFont="1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1" fillId="0" borderId="0" xfId="0" applyFont="1" applyAlignment="1">
      <alignment vertical="center"/>
    </xf>
    <xf numFmtId="0" fontId="1" fillId="0" borderId="0" xfId="0" applyFont="1" applyAlignment="1">
      <alignment horizontal="left" vertical="center"/>
    </xf>
    <xf numFmtId="0" fontId="0" fillId="2" borderId="1" xfId="0" applyFill="1" applyBorder="1" applyAlignment="1">
      <alignment horizontal="center" vertical="center" wrapText="1"/>
    </xf>
    <xf numFmtId="14" fontId="0" fillId="0" borderId="0" xfId="0" applyNumberFormat="1" applyAlignment="1">
      <alignment horizontal="center" vertical="center"/>
    </xf>
    <xf numFmtId="0" fontId="1" fillId="0" borderId="2" xfId="0" applyFont="1" applyBorder="1" applyAlignment="1">
      <alignment horizontal="left" vertical="center"/>
    </xf>
    <xf numFmtId="0" fontId="1" fillId="2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31"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numFmt numFmtId="19" formatCode="m/d/yyyy"/>
      <alignment horizontal="center" vertical="center" textRotation="0" wrapText="0" indent="0" justifyLastLine="0" shrinkToFit="0" readingOrder="0"/>
    </dxf>
    <dxf>
      <fill>
        <patternFill>
          <bgColor rgb="FFF7DA21"/>
        </patternFill>
      </fill>
    </dxf>
    <dxf>
      <font>
        <b val="0"/>
        <i val="0"/>
        <strike val="0"/>
      </font>
      <numFmt numFmtId="0" formatCode="General"/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00FF"/>
      <color rgb="FFFF00FF"/>
      <color rgb="FFFF8F8F"/>
      <color rgb="FFFF1919"/>
      <color rgb="FFFF9900"/>
      <color rgb="FFF7DA21"/>
      <color rgb="FFFF3300"/>
      <color rgb="FFFF505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203200</xdr:colOff>
          <xdr:row>8</xdr:row>
          <xdr:rowOff>165100</xdr:rowOff>
        </xdr:from>
        <xdr:to>
          <xdr:col>13</xdr:col>
          <xdr:colOff>495300</xdr:colOff>
          <xdr:row>17</xdr:row>
          <xdr:rowOff>165100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0" tIns="187452" rIns="182880" bIns="187452" anchor="ctr" upright="1"/>
            <a:lstStyle/>
            <a:p>
              <a:pPr algn="ctr" rtl="0">
                <a:defRPr sz="1000"/>
              </a:pPr>
              <a:r>
                <a:rPr lang="en-US" sz="7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CONTINUE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465644</xdr:colOff>
      <xdr:row>17</xdr:row>
      <xdr:rowOff>139724</xdr:rowOff>
    </xdr:from>
    <xdr:to>
      <xdr:col>2</xdr:col>
      <xdr:colOff>804773</xdr:colOff>
      <xdr:row>25</xdr:row>
      <xdr:rowOff>179785</xdr:rowOff>
    </xdr:to>
    <xdr:grpSp>
      <xdr:nvGrpSpPr>
        <xdr:cNvPr id="10" name="HIVE">
          <a:extLst>
            <a:ext uri="{FF2B5EF4-FFF2-40B4-BE49-F238E27FC236}">
              <a16:creationId xmlns:a16="http://schemas.microsoft.com/office/drawing/2014/main" id="{99B0DF69-80C8-4738-8F88-88B0D007A5BF}"/>
            </a:ext>
          </a:extLst>
        </xdr:cNvPr>
        <xdr:cNvGrpSpPr/>
      </xdr:nvGrpSpPr>
      <xdr:grpSpPr>
        <a:xfrm>
          <a:off x="1681215" y="3106081"/>
          <a:ext cx="1554701" cy="1636633"/>
          <a:chOff x="476249" y="48012"/>
          <a:chExt cx="2142330" cy="2212303"/>
        </a:xfrm>
      </xdr:grpSpPr>
      <xdr:sp macro="" textlink="'xml stats'!D2">
        <xdr:nvSpPr>
          <xdr:cNvPr id="11" name="LETTERREDHEX">
            <a:extLst>
              <a:ext uri="{FF2B5EF4-FFF2-40B4-BE49-F238E27FC236}">
                <a16:creationId xmlns:a16="http://schemas.microsoft.com/office/drawing/2014/main" id="{83E7800A-EBA0-DB15-0B18-4C509B3E6B64}"/>
              </a:ext>
            </a:extLst>
          </xdr:cNvPr>
          <xdr:cNvSpPr/>
        </xdr:nvSpPr>
        <xdr:spPr>
          <a:xfrm>
            <a:off x="1145530" y="799766"/>
            <a:ext cx="796602" cy="708796"/>
          </a:xfrm>
          <a:prstGeom prst="hexagon">
            <a:avLst/>
          </a:prstGeom>
          <a:solidFill>
            <a:srgbClr val="F7DA21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E489480-4BFF-427B-B42F-76E6AE85B687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H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/>
            </a:endParaRPr>
          </a:p>
        </xdr:txBody>
      </xdr:sp>
      <xdr:sp macro="" textlink="'xml stats'!J8">
        <xdr:nvSpPr>
          <xdr:cNvPr id="12" name="Hexagon 11">
            <a:extLst>
              <a:ext uri="{FF2B5EF4-FFF2-40B4-BE49-F238E27FC236}">
                <a16:creationId xmlns:a16="http://schemas.microsoft.com/office/drawing/2014/main" id="{0D084D61-429E-4890-2938-FABFFE608BF8}"/>
              </a:ext>
            </a:extLst>
          </xdr:cNvPr>
          <xdr:cNvSpPr/>
        </xdr:nvSpPr>
        <xdr:spPr>
          <a:xfrm>
            <a:off x="1144265" y="48012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D1C37F6-EEAF-42EA-88C1-AFF7D5475073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A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3">
        <xdr:nvSpPr>
          <xdr:cNvPr id="13" name="Hexagon 12">
            <a:extLst>
              <a:ext uri="{FF2B5EF4-FFF2-40B4-BE49-F238E27FC236}">
                <a16:creationId xmlns:a16="http://schemas.microsoft.com/office/drawing/2014/main" id="{C3D94B12-B527-CA4D-47E0-DF35C2FDC674}"/>
              </a:ext>
            </a:extLst>
          </xdr:cNvPr>
          <xdr:cNvSpPr/>
        </xdr:nvSpPr>
        <xdr:spPr>
          <a:xfrm>
            <a:off x="479206" y="415347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36556AC-CAFE-4479-8C85-CAF9B625B2F8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W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2">
        <xdr:nvSpPr>
          <xdr:cNvPr id="14" name="Hexagon 13">
            <a:extLst>
              <a:ext uri="{FF2B5EF4-FFF2-40B4-BE49-F238E27FC236}">
                <a16:creationId xmlns:a16="http://schemas.microsoft.com/office/drawing/2014/main" id="{B4CE2B84-66F7-FEC4-A51E-02D58D375124}"/>
              </a:ext>
            </a:extLst>
          </xdr:cNvPr>
          <xdr:cNvSpPr/>
        </xdr:nvSpPr>
        <xdr:spPr>
          <a:xfrm>
            <a:off x="476249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AA1C3CFC-213F-4E3A-99F5-B5642B83E12B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N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9">
        <xdr:nvSpPr>
          <xdr:cNvPr id="15" name="Hexagon 14">
            <a:extLst>
              <a:ext uri="{FF2B5EF4-FFF2-40B4-BE49-F238E27FC236}">
                <a16:creationId xmlns:a16="http://schemas.microsoft.com/office/drawing/2014/main" id="{EC251CB3-DFAA-EE56-8FD9-E3FAB993C12F}"/>
              </a:ext>
            </a:extLst>
          </xdr:cNvPr>
          <xdr:cNvSpPr/>
        </xdr:nvSpPr>
        <xdr:spPr>
          <a:xfrm>
            <a:off x="1811854" y="43430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76A4114-7B80-44E9-9E5B-61E729B29E8C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D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0">
        <xdr:nvSpPr>
          <xdr:cNvPr id="16" name="Hexagon 15">
            <a:extLst>
              <a:ext uri="{FF2B5EF4-FFF2-40B4-BE49-F238E27FC236}">
                <a16:creationId xmlns:a16="http://schemas.microsoft.com/office/drawing/2014/main" id="{B2BDBDD5-0F3C-4C71-1DD1-962532EFDEC2}"/>
              </a:ext>
            </a:extLst>
          </xdr:cNvPr>
          <xdr:cNvSpPr/>
        </xdr:nvSpPr>
        <xdr:spPr>
          <a:xfrm>
            <a:off x="1821977" y="1173718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E1EA29B-AF11-4F8F-8CEC-0E25B99C99F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E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  <xdr:sp macro="" textlink="'xml stats'!J11">
        <xdr:nvSpPr>
          <xdr:cNvPr id="17" name="Hexagon 16">
            <a:extLst>
              <a:ext uri="{FF2B5EF4-FFF2-40B4-BE49-F238E27FC236}">
                <a16:creationId xmlns:a16="http://schemas.microsoft.com/office/drawing/2014/main" id="{C4A20A70-CB4A-B8B5-C9D2-61DD66D38B03}"/>
              </a:ext>
            </a:extLst>
          </xdr:cNvPr>
          <xdr:cNvSpPr/>
        </xdr:nvSpPr>
        <xdr:spPr>
          <a:xfrm>
            <a:off x="1148587" y="1551519"/>
            <a:ext cx="796602" cy="708796"/>
          </a:xfrm>
          <a:prstGeom prst="hexagon">
            <a:avLst/>
          </a:prstGeom>
          <a:solidFill>
            <a:srgbClr val="DDDDDD"/>
          </a:solidFill>
          <a:ln w="12700" cap="flat" cmpd="sng" algn="ctr">
            <a:noFill/>
            <a:prstDash val="solid"/>
            <a:miter lim="800000"/>
          </a:ln>
          <a:effectLst/>
        </xdr:spPr>
        <xdr:txBody>
          <a:bodyPr vertOverflow="clip" horzOverflow="clip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BF0FE7AE-7B1F-4AE7-9E65-BF337C56DC0A}" type="TxLink">
              <a:rPr kumimoji="0" lang="en-US" sz="1800" b="1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I</a:t>
            </a:fld>
            <a:endParaRPr kumimoji="0" lang="en-US" sz="1800" b="1" i="0" u="none" strike="noStrike" kern="0" cap="none" spc="0" normalizeH="0" baseline="0" noProof="0">
              <a:ln>
                <a:noFill/>
              </a:ln>
              <a:solidFill>
                <a:srgbClr val="000000"/>
              </a:solidFill>
              <a:effectLst/>
              <a:uLnTx/>
              <a:uFillTx/>
              <a:latin typeface="Calibri"/>
              <a:ea typeface="Calibri"/>
              <a:cs typeface="Calibri"/>
            </a:endParaRPr>
          </a:p>
        </xdr:txBody>
      </xdr:sp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C3085B6A-0311-4208-8097-40392998D00C}" autoFormatId="16" applyNumberFormats="0" applyBorderFormats="0" applyFontFormats="0" applyPatternFormats="0" applyAlignmentFormats="0" applyWidthHeightFormats="0">
  <queryTableRefresh nextId="214">
    <queryTableFields count="31">
      <queryTableField id="1" name="filedate" tableColumnId="1"/>
      <queryTableField id="2" name="longdate" tableColumnId="2"/>
      <queryTableField id="10" name="letters" tableColumnId="10"/>
      <queryTableField id="11" name="center" tableColumnId="11"/>
      <queryTableField id="12" name="letter1count" tableColumnId="12"/>
      <queryTableField id="13" name="letter2count" tableColumnId="13"/>
      <queryTableField id="14" name="letter3count" tableColumnId="14"/>
      <queryTableField id="15" name="letter4count" tableColumnId="15"/>
      <queryTableField id="16" name="letter5count" tableColumnId="16"/>
      <queryTableField id="17" name="letter6count" tableColumnId="17"/>
      <queryTableField id="32" name="letter7count" tableColumnId="32"/>
      <queryTableField id="34" name="honeycomb1" tableColumnId="33"/>
      <queryTableField id="35" name="honeycomb2" tableColumnId="34"/>
      <queryTableField id="36" name="honeycomb3" tableColumnId="35"/>
      <queryTableField id="37" name="honeycomb4" tableColumnId="36"/>
      <queryTableField id="38" name="honeycomb5" tableColumnId="37"/>
      <queryTableField id="39" name="honeycomb6" tableColumnId="38"/>
      <queryTableField id="18" name="wordcount" tableColumnId="18"/>
      <queryTableField id="212" name="pangram" tableColumnId="3"/>
      <queryTableField id="20" name="pangramcount" tableColumnId="20"/>
      <queryTableField id="21" name="perfectpgcount" tableColumnId="21"/>
      <queryTableField id="22" name="bingo" tableColumnId="22"/>
      <queryTableField id="23" name="queenbee" tableColumnId="23"/>
      <queryTableField id="24" name="goodstart" tableColumnId="24"/>
      <queryTableField id="25" name="movingup" tableColumnId="25"/>
      <queryTableField id="26" name="good" tableColumnId="26"/>
      <queryTableField id="27" name="solid" tableColumnId="27"/>
      <queryTableField id="28" name="nice" tableColumnId="28"/>
      <queryTableField id="29" name="great" tableColumnId="29"/>
      <queryTableField id="30" name="amazing" tableColumnId="30"/>
      <queryTableField id="31" name="genius" tableColumnId="31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refreshOnLoad="1" connectionId="2" xr16:uid="{54A8006C-EC2E-4053-8D4B-AFE34E71E43C}" autoFormatId="16" applyNumberFormats="0" applyBorderFormats="0" applyFontFormats="0" applyPatternFormats="0" applyAlignmentFormats="0" applyWidthHeightFormats="0">
  <queryTableRefresh nextId="4">
    <queryTableFields count="3">
      <queryTableField id="1" name="startswith" tableColumnId="1"/>
      <queryTableField id="2" name="wordlength" tableColumnId="2"/>
      <queryTableField id="3" name="firsttwoletters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E41218D-5B74-47F3-BC58-858BAE73203C}" name="xml_stats" displayName="xml_stats" ref="A1:AE2" tableType="queryTable" totalsRowShown="0" headerRowDxfId="30" dataDxfId="29">
  <autoFilter ref="A1:AE2" xr:uid="{3E41218D-5B74-47F3-BC58-858BAE73203C}"/>
  <tableColumns count="31">
    <tableColumn id="1" xr3:uid="{AA088BA8-4304-4312-B1A6-487728FCA917}" uniqueName="1" name="filedate" queryTableFieldId="1" dataDxfId="23"/>
    <tableColumn id="2" xr3:uid="{BAA1044B-212A-4B27-8760-EF45790FC702}" uniqueName="2" name="longdate" queryTableFieldId="2" dataDxfId="22"/>
    <tableColumn id="10" xr3:uid="{94B4FACC-82D7-4615-9F2D-F2895ED17355}" uniqueName="10" name="letters" queryTableFieldId="10" dataDxfId="21"/>
    <tableColumn id="11" xr3:uid="{C3554A6A-421F-4CBB-B004-C422420132A6}" uniqueName="11" name="center" queryTableFieldId="11" dataDxfId="20"/>
    <tableColumn id="12" xr3:uid="{E3259F49-3778-437C-AF1C-B1EE143A021A}" uniqueName="12" name="letter1count" queryTableFieldId="12" dataDxfId="19"/>
    <tableColumn id="13" xr3:uid="{294D9F3C-93D4-45AD-80F2-313D25F8B7E8}" uniqueName="13" name="letter2count" queryTableFieldId="13" dataDxfId="18"/>
    <tableColumn id="14" xr3:uid="{87EA3D70-C54C-4C15-82EC-1A3E25D9DD78}" uniqueName="14" name="letter3count" queryTableFieldId="14" dataDxfId="17"/>
    <tableColumn id="15" xr3:uid="{DF679985-E839-460B-AD63-B290CF5B39F0}" uniqueName="15" name="letter4count" queryTableFieldId="15" dataDxfId="16"/>
    <tableColumn id="16" xr3:uid="{6807BE4C-FA24-44F7-AF66-D74E9520EFA1}" uniqueName="16" name="letter5count" queryTableFieldId="16" dataDxfId="15"/>
    <tableColumn id="17" xr3:uid="{8D5C91AB-6FD6-4AFC-B900-08F8CE94391C}" uniqueName="17" name="letter6count" queryTableFieldId="17" dataDxfId="14"/>
    <tableColumn id="32" xr3:uid="{5542FD15-B8A7-406F-B762-5058E21A2F42}" uniqueName="32" name="letter7count" queryTableFieldId="32" dataDxfId="13"/>
    <tableColumn id="33" xr3:uid="{ADBA9E77-B81E-40D6-B230-756A6BDB4F8B}" uniqueName="33" name="honeycomb1" queryTableFieldId="34"/>
    <tableColumn id="34" xr3:uid="{43406FBE-3B27-43DC-9874-D340703BD762}" uniqueName="34" name="honeycomb2" queryTableFieldId="35"/>
    <tableColumn id="35" xr3:uid="{F58D1EC9-2CD3-4A85-850B-F616AC69D4FB}" uniqueName="35" name="honeycomb3" queryTableFieldId="36"/>
    <tableColumn id="36" xr3:uid="{6299A4A7-1F9D-4504-A21A-EE7916E0E099}" uniqueName="36" name="honeycomb4" queryTableFieldId="37"/>
    <tableColumn id="37" xr3:uid="{38E1E225-F4E6-4DA3-A929-B0D2ADE88C5C}" uniqueName="37" name="honeycomb5" queryTableFieldId="38"/>
    <tableColumn id="38" xr3:uid="{CDFC19B5-56A8-4C31-BBD8-EC5F3D95F4F1}" uniqueName="38" name="honeycomb6" queryTableFieldId="39"/>
    <tableColumn id="18" xr3:uid="{0CAB237A-8748-4FE4-83BA-888450D587B3}" uniqueName="18" name="wordcount" queryTableFieldId="18" dataDxfId="12"/>
    <tableColumn id="3" xr3:uid="{0524FCEA-C388-4972-B72A-1810818AB6E4}" uniqueName="3" name="pangram" queryTableFieldId="212" dataDxfId="28"/>
    <tableColumn id="20" xr3:uid="{99B3B58C-2B0E-498E-BE97-242B3A32D0A0}" uniqueName="20" name="pangramcount" queryTableFieldId="20" dataDxfId="11"/>
    <tableColumn id="21" xr3:uid="{B6F383E6-A144-452E-83E6-89FBFDA96B25}" uniqueName="21" name="perfectpgcount" queryTableFieldId="21" dataDxfId="10"/>
    <tableColumn id="22" xr3:uid="{508A58FD-8F44-42DE-852E-2A489A92186C}" uniqueName="22" name="bingo" queryTableFieldId="22" dataDxfId="9"/>
    <tableColumn id="23" xr3:uid="{59570B54-511F-479A-85E0-E8D2F1778F56}" uniqueName="23" name="queenbee" queryTableFieldId="23" dataDxfId="8"/>
    <tableColumn id="24" xr3:uid="{552A902A-9527-4BB1-B786-3D6F1EE00A39}" uniqueName="24" name="goodstart" queryTableFieldId="24" dataDxfId="7"/>
    <tableColumn id="25" xr3:uid="{3F9745CD-6BFA-478C-871C-259948B8FD70}" uniqueName="25" name="movingup" queryTableFieldId="25" dataDxfId="6"/>
    <tableColumn id="26" xr3:uid="{7B7B1F62-8996-4FD3-8276-E358E742FB25}" uniqueName="26" name="good" queryTableFieldId="26" dataDxfId="5"/>
    <tableColumn id="27" xr3:uid="{D5259885-542A-4D00-991A-A11DAB07C78D}" uniqueName="27" name="solid" queryTableFieldId="27" dataDxfId="4"/>
    <tableColumn id="28" xr3:uid="{625FD87D-E7B1-48D0-9709-202470919DA4}" uniqueName="28" name="nice" queryTableFieldId="28" dataDxfId="3"/>
    <tableColumn id="29" xr3:uid="{0686A62A-2F21-4D7F-9556-81FE0554C91D}" uniqueName="29" name="great" queryTableFieldId="29" dataDxfId="2"/>
    <tableColumn id="30" xr3:uid="{7D2398A3-FB38-4E35-981C-BCD206047AEE}" uniqueName="30" name="amazing" queryTableFieldId="30" dataDxfId="1"/>
    <tableColumn id="31" xr3:uid="{B96CB09B-C3B3-4F50-8F63-16F63AB62612}" uniqueName="31" name="genius" queryTableFieldId="31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76BFD6F-ED12-4EF4-AF0F-15EE28AAB95D}" name="xml_words" displayName="xml_words" ref="A1:C29" tableType="queryTable" totalsRowShown="0">
  <autoFilter ref="A1:C29" xr:uid="{876BFD6F-ED12-4EF4-AF0F-15EE28AAB95D}"/>
  <sortState xmlns:xlrd2="http://schemas.microsoft.com/office/spreadsheetml/2017/richdata2" ref="A2:C29">
    <sortCondition ref="C2"/>
  </sortState>
  <tableColumns count="3">
    <tableColumn id="1" xr3:uid="{37C82392-5E55-401B-9877-BF926F0CEE4E}" uniqueName="1" name="startswith" queryTableFieldId="1" dataDxfId="27"/>
    <tableColumn id="2" xr3:uid="{9C82BFB7-43B4-411F-9583-D2C8A26C768B}" uniqueName="2" name="wordlength" queryTableFieldId="2"/>
    <tableColumn id="3" xr3:uid="{1E2C2B52-46B3-41FC-8EF1-8FC31F049786}" uniqueName="3" name="firsttwoletters" queryTableFieldId="3" dataDxfId="2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25CFDD-A66F-4BCC-B0F4-C32C80B26920}">
  <sheetPr codeName="Sheet6">
    <pageSetUpPr fitToPage="1"/>
  </sheetPr>
  <dimension ref="A1:K61"/>
  <sheetViews>
    <sheetView zoomScale="70" zoomScaleNormal="70" workbookViewId="0">
      <selection activeCell="J24" sqref="J24"/>
    </sheetView>
  </sheetViews>
  <sheetFormatPr defaultColWidth="16.54296875" defaultRowHeight="15.5" x14ac:dyDescent="0.35"/>
  <cols>
    <col min="1" max="7" width="17.453125" style="4" customWidth="1"/>
    <col min="8" max="16384" width="16.54296875" style="4"/>
  </cols>
  <sheetData>
    <row r="1" spans="1:7" x14ac:dyDescent="0.35">
      <c r="A1" s="11" t="str" cm="1">
        <f t="array" ref="A1">"TheGameBureau.com presents the NY Times Spelling Bee Hint Worksheet for "&amp;TEXT(xml_stats[longdate],"DDDD, MMMM DD, YYYY")</f>
        <v>TheGameBureau.com presents the NY Times Spelling Bee Hint Worksheet for Monday, April 28, 2025</v>
      </c>
      <c r="B1" s="11"/>
      <c r="C1" s="11"/>
      <c r="D1" s="11"/>
      <c r="E1" s="11"/>
      <c r="F1" s="11"/>
      <c r="G1" s="11"/>
    </row>
    <row r="2" spans="1:7" x14ac:dyDescent="0.35">
      <c r="A2" s="11" t="str">
        <f>"Words: "&amp;'xml stats'!R2&amp;", Pangrams: "&amp;'xml stats'!T2&amp;" ("&amp;'xml stats'!U2&amp;" Perfect), "&amp;'xml stats'!V2</f>
        <v>Words: 28, Pangrams: 1 (0 Perfect), NO BINGO</v>
      </c>
      <c r="B2" s="11"/>
      <c r="C2" s="11"/>
      <c r="D2" s="11"/>
      <c r="E2" s="11"/>
      <c r="F2" s="11"/>
      <c r="G2" s="11"/>
    </row>
    <row r="3" spans="1:7" x14ac:dyDescent="0.35">
      <c r="A3" s="12" t="str">
        <f>"Good Start: "&amp;'xml stats'!X2&amp;", Moving Up: "&amp;'xml stats'!Y2&amp;", Good: "&amp;'xml stats'!Z2&amp;", Solid: "&amp;'xml stats'!AA2&amp;", Nice: "&amp;'xml stats'!AB2&amp;", Great: "&amp;'xml stats'!AC2&amp;", Amazing: "&amp;'xml stats'!AD2&amp;", Genius: "&amp;'xml stats'!AE2&amp;", Queen Bee: "&amp;'xml stats'!W2</f>
        <v>Good Start: 3, Moving Up: 7, Good: 11, Solid: 21, Nice: 34, Great: 55, Amazing: 69, Genius: 97, Queen Bee: 138</v>
      </c>
      <c r="B3" s="12"/>
      <c r="C3" s="12"/>
      <c r="D3" s="12"/>
      <c r="E3" s="12"/>
      <c r="F3" s="12"/>
      <c r="G3" s="12"/>
    </row>
    <row r="4" spans="1:7" x14ac:dyDescent="0.35">
      <c r="A4" s="3" t="str" cm="1">
        <f t="array" ref="A4">xml_stats[letter1count]</f>
        <v>A(1)</v>
      </c>
      <c r="B4" s="3" t="str" cm="1">
        <f t="array" ref="B4">xml_stats[letter2count]</f>
        <v>D(2)</v>
      </c>
      <c r="C4" s="3" t="str" cm="1">
        <f t="array" ref="C4">xml_stats[letter3count]</f>
        <v>E(0)</v>
      </c>
      <c r="D4" s="3" t="str" cm="1">
        <f t="array" ref="D4">xml_stats[letter4count]</f>
        <v>H(18)</v>
      </c>
      <c r="E4" s="3" t="str" cm="1">
        <f t="array" ref="E4">xml_stats[letter5count]</f>
        <v>I(0)</v>
      </c>
      <c r="F4" s="3" t="str" cm="1">
        <f t="array" ref="F4">xml_stats[letter6count]</f>
        <v>N(0)</v>
      </c>
      <c r="G4" s="3" t="str" cm="1">
        <f t="array" ref="G4">xml_stats[letter7count]</f>
        <v>W(7)</v>
      </c>
    </row>
    <row r="5" spans="1:7" ht="29" x14ac:dyDescent="0.35">
      <c r="A5" s="8" t="str">
        <f>REPT("④",COUNTIFS(xml_words[wordlength],4,xml_words[startswith],LEFT(A$4,1)))</f>
        <v/>
      </c>
      <c r="B5" s="8" t="str">
        <f>REPT("④",COUNTIFS(xml_words[wordlength],4,xml_words[startswith],LEFT(B$4,1)))</f>
        <v/>
      </c>
      <c r="C5" s="8" t="str">
        <f>REPT("④",COUNTIFS(xml_words[wordlength],4,xml_words[startswith],LEFT(C$4,1)))</f>
        <v/>
      </c>
      <c r="D5" s="8" t="str">
        <f>REPT("④",COUNTIFS(xml_words[wordlength],4,xml_words[startswith],LEFT(D$4,1)))</f>
        <v>④④④④④④</v>
      </c>
      <c r="E5" s="8" t="str">
        <f>REPT("④",COUNTIFS(xml_words[wordlength],4,xml_words[startswith],LEFT(E$4,1)))</f>
        <v/>
      </c>
      <c r="F5" s="8" t="str">
        <f>REPT("④",COUNTIFS(xml_words[wordlength],4,xml_words[startswith],LEFT(F$4,1)))</f>
        <v/>
      </c>
      <c r="G5" s="8" t="str">
        <f>REPT("④",COUNTIFS(xml_words[wordlength],4,xml_words[startswith],LEFT(G$4,1)))</f>
        <v>④④④</v>
      </c>
    </row>
    <row r="6" spans="1:7" x14ac:dyDescent="0.35">
      <c r="A6" s="8" t="str">
        <f>REPT("⑤",COUNTIFS(xml_words[wordlength],5,xml_words[startswith],LEFT(A$4,1)))</f>
        <v>⑤</v>
      </c>
      <c r="B6" s="8" t="str">
        <f>REPT("⑤",COUNTIFS(xml_words[wordlength],5,xml_words[startswith],LEFT(B$4,1)))</f>
        <v/>
      </c>
      <c r="C6" s="8" t="str">
        <f>REPT("⑤",COUNTIFS(xml_words[wordlength],5,xml_words[startswith],LEFT(C$4,1)))</f>
        <v/>
      </c>
      <c r="D6" s="8" t="str">
        <f>REPT("⑤",COUNTIFS(xml_words[wordlength],5,xml_words[startswith],LEFT(D$4,1)))</f>
        <v>⑤⑤⑤</v>
      </c>
      <c r="E6" s="8" t="str">
        <f>REPT("⑤",COUNTIFS(xml_words[wordlength],5,xml_words[startswith],LEFT(E$4,1)))</f>
        <v/>
      </c>
      <c r="F6" s="8" t="str">
        <f>REPT("⑤",COUNTIFS(xml_words[wordlength],5,xml_words[startswith],LEFT(F$4,1)))</f>
        <v/>
      </c>
      <c r="G6" s="8" t="str">
        <f>REPT("⑤",COUNTIFS(xml_words[wordlength],5,xml_words[startswith],LEFT(G$4,1)))</f>
        <v>⑤</v>
      </c>
    </row>
    <row r="7" spans="1:7" x14ac:dyDescent="0.35">
      <c r="A7" s="8" t="str">
        <f>REPT("⑥",COUNTIFS(xml_words[wordlength],6,xml_words[startswith],LEFT(A$4,1)))</f>
        <v/>
      </c>
      <c r="B7" s="8" t="str">
        <f>REPT("⑥",COUNTIFS(xml_words[wordlength],6,xml_words[startswith],LEFT(B$4,1)))</f>
        <v/>
      </c>
      <c r="C7" s="8" t="str">
        <f>REPT("⑥",COUNTIFS(xml_words[wordlength],6,xml_words[startswith],LEFT(C$4,1)))</f>
        <v/>
      </c>
      <c r="D7" s="8" t="str">
        <f>REPT("⑥",COUNTIFS(xml_words[wordlength],6,xml_words[startswith],LEFT(D$4,1)))</f>
        <v>⑥⑥⑥⑥⑥⑥</v>
      </c>
      <c r="E7" s="8" t="str">
        <f>REPT("⑥",COUNTIFS(xml_words[wordlength],6,xml_words[startswith],LEFT(E$4,1)))</f>
        <v/>
      </c>
      <c r="F7" s="8" t="str">
        <f>REPT("⑥",COUNTIFS(xml_words[wordlength],6,xml_words[startswith],LEFT(F$4,1)))</f>
        <v/>
      </c>
      <c r="G7" s="8" t="str">
        <f>REPT("⑥",COUNTIFS(xml_words[wordlength],6,xml_words[startswith],LEFT(G$4,1)))</f>
        <v>⑥⑥</v>
      </c>
    </row>
    <row r="8" spans="1:7" x14ac:dyDescent="0.35">
      <c r="A8" s="8" t="str">
        <f>REPT("⑦",COUNTIFS(xml_words[wordlength],7,xml_words[startswith],LEFT(A$4,1)))</f>
        <v/>
      </c>
      <c r="B8" s="8" t="str">
        <f>REPT("⑦",COUNTIFS(xml_words[wordlength],7,xml_words[startswith],LEFT(B$4,1)))</f>
        <v/>
      </c>
      <c r="C8" s="8" t="str">
        <f>REPT("⑦",COUNTIFS(xml_words[wordlength],7,xml_words[startswith],LEFT(C$4,1)))</f>
        <v/>
      </c>
      <c r="D8" s="8" t="str">
        <f>REPT("⑦",COUNTIFS(xml_words[wordlength],7,xml_words[startswith],LEFT(D$4,1)))</f>
        <v>⑦</v>
      </c>
      <c r="E8" s="8" t="str">
        <f>REPT("⑦",COUNTIFS(xml_words[wordlength],7,xml_words[startswith],LEFT(E$4,1)))</f>
        <v/>
      </c>
      <c r="F8" s="8" t="str">
        <f>REPT("⑦",COUNTIFS(xml_words[wordlength],7,xml_words[startswith],LEFT(F$4,1)))</f>
        <v/>
      </c>
      <c r="G8" s="8" t="str">
        <f>REPT("⑦",COUNTIFS(xml_words[wordlength],7,xml_words[startswith],LEFT(G$4,1)))</f>
        <v/>
      </c>
    </row>
    <row r="9" spans="1:7" x14ac:dyDescent="0.35">
      <c r="A9" s="8" t="str">
        <f>REPT("⑧",COUNTIFS(xml_words[wordlength],8,xml_words[startswith],LEFT(A$4,1)))</f>
        <v/>
      </c>
      <c r="B9" s="8" t="str">
        <f>REPT("⑧",COUNTIFS(xml_words[wordlength],8,xml_words[startswith],LEFT(B$4,1)))</f>
        <v>⑧</v>
      </c>
      <c r="C9" s="8" t="str">
        <f>REPT("⑧",COUNTIFS(xml_words[wordlength],8,xml_words[startswith],LEFT(C$4,1)))</f>
        <v/>
      </c>
      <c r="D9" s="8" t="str">
        <f>REPT("⑧",COUNTIFS(xml_words[wordlength],8,xml_words[startswith],LEFT(D$4,1)))</f>
        <v>⑧⑧</v>
      </c>
      <c r="E9" s="8" t="str">
        <f>REPT("⑧",COUNTIFS(xml_words[wordlength],8,xml_words[startswith],LEFT(E$4,1)))</f>
        <v/>
      </c>
      <c r="F9" s="8" t="str">
        <f>REPT("⑧",COUNTIFS(xml_words[wordlength],8,xml_words[startswith],LEFT(F$4,1)))</f>
        <v/>
      </c>
      <c r="G9" s="8" t="str">
        <f>REPT("⑧",COUNTIFS(xml_words[wordlength],8,xml_words[startswith],LEFT(G$4,1)))</f>
        <v>⑧</v>
      </c>
    </row>
    <row r="10" spans="1:7" x14ac:dyDescent="0.35">
      <c r="A10" s="8" t="str">
        <f>REPT("⑨",COUNTIFS(xml_words[wordlength],9,xml_words[startswith],LEFT(A$4,1)))</f>
        <v/>
      </c>
      <c r="B10" s="8" t="str">
        <f>REPT("⑨",COUNTIFS(xml_words[wordlength],9,xml_words[startswith],LEFT(B$4,1)))</f>
        <v/>
      </c>
      <c r="C10" s="8" t="str">
        <f>REPT("⑨",COUNTIFS(xml_words[wordlength],9,xml_words[startswith],LEFT(C$4,1)))</f>
        <v/>
      </c>
      <c r="D10" s="8" t="str">
        <f>REPT("⑨",COUNTIFS(xml_words[wordlength],9,xml_words[startswith],LEFT(D$4,1)))</f>
        <v/>
      </c>
      <c r="E10" s="8" t="str">
        <f>REPT("⑨",COUNTIFS(xml_words[wordlength],9,xml_words[startswith],LEFT(E$4,1)))</f>
        <v/>
      </c>
      <c r="F10" s="8" t="str">
        <f>REPT("⑨",COUNTIFS(xml_words[wordlength],9,xml_words[startswith],LEFT(F$4,1)))</f>
        <v/>
      </c>
      <c r="G10" s="8" t="str">
        <f>REPT("⑨",COUNTIFS(xml_words[wordlength],9,xml_words[startswith],LEFT(G$4,1)))</f>
        <v/>
      </c>
    </row>
    <row r="11" spans="1:7" hidden="1" x14ac:dyDescent="0.35">
      <c r="A11" s="8" t="str">
        <f>REPT("⑩",COUNTIFS(xml_words[wordlength],10,xml_words[startswith],LEFT(A$4,1)))</f>
        <v/>
      </c>
      <c r="B11" s="8" t="str">
        <f>REPT("⑩",COUNTIFS(xml_words[wordlength],10,xml_words[startswith],LEFT(B$4,1)))</f>
        <v>⑩</v>
      </c>
      <c r="C11" s="8" t="str">
        <f>REPT("⑩",COUNTIFS(xml_words[wordlength],10,xml_words[startswith],LEFT(C$4,1)))</f>
        <v/>
      </c>
      <c r="D11" s="8" t="str">
        <f>REPT("⑩",COUNTIFS(xml_words[wordlength],10,xml_words[startswith],LEFT(D$4,1)))</f>
        <v/>
      </c>
      <c r="E11" s="8" t="str">
        <f>REPT("⑩",COUNTIFS(xml_words[wordlength],10,xml_words[startswith],LEFT(E$4,1)))</f>
        <v/>
      </c>
      <c r="F11" s="8" t="str">
        <f>REPT("⑩",COUNTIFS(xml_words[wordlength],10,xml_words[startswith],LEFT(F$4,1)))</f>
        <v/>
      </c>
      <c r="G11" s="8" t="str">
        <f>REPT("⑩",COUNTIFS(xml_words[wordlength],10,xml_words[startswith],LEFT(G$4,1)))</f>
        <v/>
      </c>
    </row>
    <row r="12" spans="1:7" hidden="1" x14ac:dyDescent="0.35">
      <c r="A12" s="8" t="str">
        <f>REPT("⑪",COUNTIFS(xml_words[wordlength],11,xml_words[startswith],LEFT(A$4,1)))</f>
        <v/>
      </c>
      <c r="B12" s="8" t="str">
        <f>REPT("⑪",COUNTIFS(xml_words[wordlength],11,xml_words[startswith],LEFT(B$4,1)))</f>
        <v/>
      </c>
      <c r="C12" s="8" t="str">
        <f>REPT("⑪",COUNTIFS(xml_words[wordlength],11,xml_words[startswith],LEFT(C$4,1)))</f>
        <v/>
      </c>
      <c r="D12" s="8" t="str">
        <f>REPT("⑪",COUNTIFS(xml_words[wordlength],11,xml_words[startswith],LEFT(D$4,1)))</f>
        <v/>
      </c>
      <c r="E12" s="8" t="str">
        <f>REPT("⑪",COUNTIFS(xml_words[wordlength],11,xml_words[startswith],LEFT(E$4,1)))</f>
        <v/>
      </c>
      <c r="F12" s="8" t="str">
        <f>REPT("⑪",COUNTIFS(xml_words[wordlength],11,xml_words[startswith],LEFT(F$4,1)))</f>
        <v/>
      </c>
      <c r="G12" s="8" t="str">
        <f>REPT("⑪",COUNTIFS(xml_words[wordlength],11,xml_words[startswith],LEFT(G$4,1)))</f>
        <v/>
      </c>
    </row>
    <row r="13" spans="1:7" hidden="1" x14ac:dyDescent="0.35">
      <c r="A13" s="8" t="str">
        <f>REPT("⑫",COUNTIFS(xml_words[wordlength],12,xml_words[startswith],LEFT(A$4,1)))</f>
        <v/>
      </c>
      <c r="B13" s="8" t="str">
        <f>REPT("⑫",COUNTIFS(xml_words[wordlength],12,xml_words[startswith],LEFT(B$4,1)))</f>
        <v/>
      </c>
      <c r="C13" s="8" t="str">
        <f>REPT("⑫",COUNTIFS(xml_words[wordlength],12,xml_words[startswith],LEFT(C$4,1)))</f>
        <v/>
      </c>
      <c r="D13" s="8" t="str">
        <f>REPT("⑫",COUNTIFS(xml_words[wordlength],12,xml_words[startswith],LEFT(D$4,1)))</f>
        <v/>
      </c>
      <c r="E13" s="8" t="str">
        <f>REPT("⑫",COUNTIFS(xml_words[wordlength],12,xml_words[startswith],LEFT(E$4,1)))</f>
        <v/>
      </c>
      <c r="F13" s="8" t="str">
        <f>REPT("⑫",COUNTIFS(xml_words[wordlength],12,xml_words[startswith],LEFT(F$4,1)))</f>
        <v/>
      </c>
      <c r="G13" s="8" t="str">
        <f>REPT("⑫",COUNTIFS(xml_words[wordlength],12,xml_words[startswith],LEFT(G$4,1)))</f>
        <v/>
      </c>
    </row>
    <row r="14" spans="1:7" x14ac:dyDescent="0.35">
      <c r="A14" s="10" t="str" cm="1">
        <f t="array" aca="1" ref="A14" ca="1">IFERROR(_xlfn._xlws.FILTER(INDIRECT("xml_words[firsttwoletters]"), LEFT(INDIRECT("xml_words[firsttwoletters]"), 1) = LEFT(A4)), "")</f>
        <v>AH</v>
      </c>
      <c r="B14" s="10" t="str" cm="1">
        <f t="array" aca="1" ref="B14:B15" ca="1">IFERROR(_xlfn._xlws.FILTER(INDIRECT("xml_words[firsttwoletters]"), LEFT(INDIRECT("xml_words[firsttwoletters]"), 1) = LEFT(B4)), "")</f>
        <v>DE</v>
      </c>
      <c r="C14" s="10" t="str" cm="1">
        <f t="array" aca="1" ref="C14" ca="1">IFERROR(_xlfn._xlws.FILTER(INDIRECT("xml_words[firsttwoletters]"), LEFT(INDIRECT("xml_words[firsttwoletters]"), 1) = LEFT(C4)), "")</f>
        <v/>
      </c>
      <c r="D14" s="10" t="str" cm="1">
        <f t="array" aca="1" ref="D14:D31" ca="1">IFERROR(_xlfn._xlws.FILTER(INDIRECT("xml_words[firsttwoletters]"), LEFT(INDIRECT("xml_words[firsttwoletters]"), 1) =LEFT(D4)), "")</f>
        <v>HA</v>
      </c>
      <c r="E14" s="10" t="str" cm="1">
        <f t="array" aca="1" ref="E14" ca="1">IFERROR(_xlfn._xlws.FILTER(INDIRECT("xml_words[firsttwoletters]"), LEFT(INDIRECT("xml_words[firsttwoletters]"), 1) =LEFT(E4)), "")</f>
        <v/>
      </c>
      <c r="F14" s="10" t="str" cm="1">
        <f t="array" aca="1" ref="F14" ca="1">IFERROR(_xlfn._xlws.FILTER(INDIRECT("xml_words[firsttwoletters]"), LEFT(INDIRECT("xml_words[firsttwoletters]"), 1) = LEFT(F4)), "")</f>
        <v/>
      </c>
      <c r="G14" s="10" t="str" cm="1">
        <f t="array" aca="1" ref="G14:G20" ca="1">IFERROR(_xlfn._xlws.FILTER(INDIRECT("xml_words[firsttwoletters]"), LEFT(INDIRECT("xml_words[firsttwoletters]"), 1) = LEFT(G4)), "")</f>
        <v>WA</v>
      </c>
    </row>
    <row r="15" spans="1:7" x14ac:dyDescent="0.35">
      <c r="A15" s="7"/>
      <c r="B15" s="7" t="str">
        <f ca="1"/>
        <v>DE</v>
      </c>
      <c r="C15" s="7"/>
      <c r="D15" s="7" t="str">
        <f ca="1"/>
        <v>HA</v>
      </c>
      <c r="E15" s="7"/>
      <c r="F15" s="7"/>
      <c r="G15" s="7" t="str">
        <f ca="1"/>
        <v>WH</v>
      </c>
    </row>
    <row r="16" spans="1:7" x14ac:dyDescent="0.35">
      <c r="A16" s="7"/>
      <c r="B16" s="7"/>
      <c r="C16" s="7"/>
      <c r="D16" s="7" t="str">
        <f ca="1"/>
        <v>HA</v>
      </c>
      <c r="E16" s="7"/>
      <c r="F16" s="7"/>
      <c r="G16" s="7" t="str">
        <f ca="1"/>
        <v>WH</v>
      </c>
    </row>
    <row r="17" spans="1:11" x14ac:dyDescent="0.35">
      <c r="A17" s="7"/>
      <c r="B17" s="7"/>
      <c r="C17" s="7"/>
      <c r="D17" s="7" t="str">
        <f ca="1"/>
        <v>HE</v>
      </c>
      <c r="E17" s="7"/>
      <c r="F17" s="7"/>
      <c r="G17" s="7" t="str">
        <f ca="1"/>
        <v>WH</v>
      </c>
    </row>
    <row r="18" spans="1:11" x14ac:dyDescent="0.35">
      <c r="A18" s="7"/>
      <c r="B18" s="7"/>
      <c r="C18" s="7"/>
      <c r="D18" s="7" t="str">
        <f ca="1"/>
        <v>HE</v>
      </c>
      <c r="E18" s="7"/>
      <c r="F18" s="7"/>
      <c r="G18" s="7" t="str">
        <f ca="1"/>
        <v>WH</v>
      </c>
    </row>
    <row r="19" spans="1:11" x14ac:dyDescent="0.35">
      <c r="A19" s="7"/>
      <c r="B19" s="7"/>
      <c r="C19" s="7"/>
      <c r="D19" s="7" t="str">
        <f ca="1"/>
        <v>HE</v>
      </c>
      <c r="E19" s="7"/>
      <c r="F19" s="7"/>
      <c r="G19" s="7" t="str">
        <f ca="1"/>
        <v>WH</v>
      </c>
    </row>
    <row r="20" spans="1:11" x14ac:dyDescent="0.35">
      <c r="A20" s="7"/>
      <c r="B20" s="7"/>
      <c r="C20" s="7"/>
      <c r="D20" s="7" t="str">
        <f ca="1"/>
        <v>HE</v>
      </c>
      <c r="E20" s="7"/>
      <c r="F20" s="7"/>
      <c r="G20" s="7" t="str">
        <f ca="1"/>
        <v>WH</v>
      </c>
    </row>
    <row r="21" spans="1:11" x14ac:dyDescent="0.35">
      <c r="A21" s="7"/>
      <c r="B21" s="7"/>
      <c r="C21" s="7"/>
      <c r="D21" s="7" t="str">
        <f ca="1"/>
        <v>HE</v>
      </c>
      <c r="E21" s="7"/>
      <c r="F21" s="7"/>
      <c r="G21" s="7"/>
    </row>
    <row r="22" spans="1:11" x14ac:dyDescent="0.35">
      <c r="A22" s="7"/>
      <c r="B22" s="7"/>
      <c r="C22" s="7"/>
      <c r="D22" s="7" t="str">
        <f ca="1"/>
        <v>HE</v>
      </c>
      <c r="E22" s="7"/>
      <c r="F22" s="7"/>
      <c r="G22" s="7"/>
    </row>
    <row r="23" spans="1:11" x14ac:dyDescent="0.35">
      <c r="A23" s="7"/>
      <c r="B23" s="7"/>
      <c r="C23" s="7"/>
      <c r="D23" s="7" t="str">
        <f ca="1"/>
        <v>HE</v>
      </c>
      <c r="E23" s="7"/>
      <c r="F23" s="7"/>
      <c r="G23" s="7"/>
    </row>
    <row r="24" spans="1:11" x14ac:dyDescent="0.35">
      <c r="A24" s="7"/>
      <c r="B24" s="7"/>
      <c r="C24" s="6"/>
      <c r="D24" s="7" t="str">
        <f ca="1"/>
        <v>HE</v>
      </c>
      <c r="E24" s="7"/>
      <c r="F24" s="7"/>
      <c r="G24" s="7"/>
    </row>
    <row r="25" spans="1:11" x14ac:dyDescent="0.35">
      <c r="A25" s="7"/>
      <c r="B25" s="7"/>
      <c r="C25" s="6"/>
      <c r="D25" s="7" t="str">
        <f ca="1"/>
        <v>HE</v>
      </c>
      <c r="E25" s="7"/>
      <c r="F25" s="7"/>
      <c r="G25" s="7"/>
    </row>
    <row r="26" spans="1:11" x14ac:dyDescent="0.35">
      <c r="A26" s="7"/>
      <c r="B26" s="7"/>
      <c r="C26" s="6"/>
      <c r="D26" s="7" t="str">
        <f ca="1"/>
        <v>HE</v>
      </c>
      <c r="E26" s="7"/>
      <c r="F26" s="7"/>
      <c r="G26" s="7"/>
    </row>
    <row r="27" spans="1:11" x14ac:dyDescent="0.35">
      <c r="A27" s="7"/>
      <c r="B27" s="7"/>
      <c r="C27" s="6"/>
      <c r="D27" s="7" t="str">
        <f ca="1"/>
        <v>HE</v>
      </c>
      <c r="E27" s="7"/>
      <c r="F27" s="7"/>
      <c r="G27" s="7"/>
    </row>
    <row r="28" spans="1:11" x14ac:dyDescent="0.35">
      <c r="A28" s="7"/>
      <c r="B28" s="7"/>
      <c r="C28" s="6"/>
      <c r="D28" s="7" t="str">
        <f ca="1"/>
        <v>HE</v>
      </c>
      <c r="E28" s="7"/>
      <c r="F28" s="7"/>
      <c r="G28" s="7"/>
    </row>
    <row r="29" spans="1:11" x14ac:dyDescent="0.35">
      <c r="A29" s="7"/>
      <c r="B29" s="7"/>
      <c r="C29" s="6"/>
      <c r="D29" s="7" t="str">
        <f ca="1"/>
        <v>HI</v>
      </c>
      <c r="E29" s="7"/>
      <c r="F29" s="7"/>
      <c r="G29" s="7"/>
      <c r="K29" s="6"/>
    </row>
    <row r="30" spans="1:11" x14ac:dyDescent="0.35">
      <c r="A30" s="7"/>
      <c r="B30" s="7"/>
      <c r="C30" s="6"/>
      <c r="D30" s="7" t="str">
        <f ca="1"/>
        <v>HI</v>
      </c>
      <c r="E30" s="7"/>
      <c r="F30" s="7"/>
      <c r="G30" s="7"/>
      <c r="K30" s="6"/>
    </row>
    <row r="31" spans="1:11" x14ac:dyDescent="0.35">
      <c r="A31" s="7"/>
      <c r="B31" s="7"/>
      <c r="C31" s="6"/>
      <c r="D31" s="7" t="str">
        <f ca="1"/>
        <v>HI</v>
      </c>
      <c r="E31" s="7"/>
      <c r="F31" s="7"/>
      <c r="G31" s="7"/>
      <c r="K31" s="6"/>
    </row>
    <row r="32" spans="1:11" x14ac:dyDescent="0.35">
      <c r="A32" s="7"/>
      <c r="B32" s="7"/>
      <c r="C32" s="6"/>
      <c r="D32" s="7"/>
      <c r="E32" s="7"/>
      <c r="F32" s="7"/>
      <c r="G32" s="7"/>
      <c r="K32" s="6"/>
    </row>
    <row r="33" spans="1:11" x14ac:dyDescent="0.35">
      <c r="A33" s="7"/>
      <c r="B33" s="7"/>
      <c r="C33" s="6"/>
      <c r="D33" s="7"/>
      <c r="F33" s="7"/>
      <c r="G33" s="7"/>
      <c r="K33" s="6"/>
    </row>
    <row r="34" spans="1:11" x14ac:dyDescent="0.35">
      <c r="A34" s="7"/>
      <c r="B34" s="7"/>
      <c r="C34" s="6"/>
      <c r="D34" s="7"/>
      <c r="E34" s="7"/>
      <c r="F34" s="7"/>
      <c r="G34" s="7"/>
      <c r="K34" s="6"/>
    </row>
    <row r="35" spans="1:11" x14ac:dyDescent="0.35">
      <c r="A35" s="7"/>
      <c r="C35" s="6"/>
      <c r="D35" s="7"/>
      <c r="E35" s="7"/>
      <c r="F35" s="7"/>
      <c r="K35" s="6"/>
    </row>
    <row r="36" spans="1:11" x14ac:dyDescent="0.35">
      <c r="A36" s="7"/>
      <c r="C36" s="6"/>
      <c r="D36" s="7"/>
      <c r="E36" s="7"/>
      <c r="F36" s="7"/>
    </row>
    <row r="37" spans="1:11" x14ac:dyDescent="0.35">
      <c r="A37" s="7"/>
      <c r="C37" s="6"/>
      <c r="D37" s="7"/>
      <c r="E37" s="7"/>
      <c r="F37" s="7"/>
    </row>
    <row r="38" spans="1:11" x14ac:dyDescent="0.35">
      <c r="A38" s="7"/>
      <c r="C38" s="6"/>
      <c r="D38" s="7"/>
      <c r="E38" s="7"/>
      <c r="F38" s="7"/>
    </row>
    <row r="39" spans="1:11" x14ac:dyDescent="0.35">
      <c r="A39" s="7"/>
      <c r="C39" s="6"/>
      <c r="D39" s="7"/>
      <c r="E39" s="7"/>
      <c r="F39" s="7"/>
      <c r="G39" s="7"/>
    </row>
    <row r="40" spans="1:11" x14ac:dyDescent="0.35">
      <c r="A40" s="7"/>
      <c r="C40" s="6"/>
      <c r="D40" s="7"/>
      <c r="E40" s="7"/>
      <c r="F40" s="7"/>
      <c r="G40" s="7"/>
    </row>
    <row r="41" spans="1:11" x14ac:dyDescent="0.35">
      <c r="A41" s="7"/>
      <c r="C41" s="6"/>
      <c r="D41" s="7"/>
      <c r="E41" s="7"/>
      <c r="F41" s="7"/>
      <c r="G41" s="7"/>
    </row>
    <row r="42" spans="1:11" x14ac:dyDescent="0.35">
      <c r="A42" s="7"/>
      <c r="C42" s="6"/>
      <c r="D42" s="7"/>
      <c r="E42" s="7"/>
      <c r="F42" s="7"/>
      <c r="G42" s="7"/>
    </row>
    <row r="43" spans="1:11" x14ac:dyDescent="0.35">
      <c r="A43" s="7"/>
      <c r="C43" s="6"/>
      <c r="G43" s="7"/>
    </row>
    <row r="44" spans="1:11" x14ac:dyDescent="0.35">
      <c r="A44" s="7"/>
      <c r="F44" s="6"/>
      <c r="G44" s="7"/>
      <c r="J44" s="7"/>
    </row>
    <row r="45" spans="1:11" x14ac:dyDescent="0.35">
      <c r="A45" s="7"/>
      <c r="E45" s="7"/>
      <c r="F45" s="6"/>
      <c r="G45" s="7"/>
    </row>
    <row r="46" spans="1:11" x14ac:dyDescent="0.35">
      <c r="A46" s="7"/>
      <c r="B46" s="6"/>
      <c r="E46" s="7"/>
      <c r="F46" s="7"/>
      <c r="G46" s="7"/>
    </row>
    <row r="47" spans="1:11" x14ac:dyDescent="0.35">
      <c r="A47" s="7"/>
      <c r="B47" s="6"/>
      <c r="E47" s="7"/>
      <c r="F47" s="7"/>
      <c r="G47" s="7"/>
    </row>
    <row r="48" spans="1:11" x14ac:dyDescent="0.35">
      <c r="A48" s="6"/>
      <c r="B48" s="6"/>
      <c r="E48" s="7"/>
      <c r="F48" s="7"/>
      <c r="G48" s="7"/>
    </row>
    <row r="49" spans="1:7" x14ac:dyDescent="0.35">
      <c r="A49" s="6"/>
      <c r="B49" s="6"/>
      <c r="E49" s="7"/>
      <c r="F49" s="7"/>
      <c r="G49" s="7"/>
    </row>
    <row r="50" spans="1:7" x14ac:dyDescent="0.35">
      <c r="A50" s="6"/>
      <c r="B50" s="6"/>
      <c r="E50" s="7"/>
      <c r="F50" s="7"/>
      <c r="G50" s="7"/>
    </row>
    <row r="51" spans="1:7" x14ac:dyDescent="0.35">
      <c r="A51" s="6"/>
      <c r="B51" s="6"/>
      <c r="D51" s="7"/>
      <c r="E51" s="7"/>
      <c r="F51" s="7"/>
      <c r="G51" s="7"/>
    </row>
    <row r="52" spans="1:7" x14ac:dyDescent="0.35">
      <c r="A52" s="6"/>
      <c r="B52" s="6"/>
      <c r="D52" s="7"/>
      <c r="E52" s="7"/>
      <c r="F52" s="7"/>
      <c r="G52" s="7"/>
    </row>
    <row r="53" spans="1:7" x14ac:dyDescent="0.35">
      <c r="A53" s="6"/>
      <c r="B53" s="6"/>
      <c r="E53" s="7"/>
      <c r="G53" s="7"/>
    </row>
    <row r="54" spans="1:7" x14ac:dyDescent="0.35">
      <c r="A54" s="6"/>
      <c r="B54" s="6"/>
      <c r="E54" s="7"/>
      <c r="G54" s="7"/>
    </row>
    <row r="55" spans="1:7" x14ac:dyDescent="0.35">
      <c r="A55" s="6"/>
      <c r="B55" s="6"/>
      <c r="E55" s="7"/>
    </row>
    <row r="56" spans="1:7" x14ac:dyDescent="0.35">
      <c r="A56" s="6"/>
      <c r="B56" s="6"/>
      <c r="E56" s="7"/>
    </row>
    <row r="57" spans="1:7" x14ac:dyDescent="0.35">
      <c r="A57" s="6"/>
      <c r="B57" s="6"/>
    </row>
    <row r="58" spans="1:7" x14ac:dyDescent="0.35">
      <c r="A58" s="6"/>
      <c r="B58" s="6"/>
    </row>
    <row r="59" spans="1:7" x14ac:dyDescent="0.35">
      <c r="A59" s="6"/>
      <c r="B59" s="6"/>
    </row>
    <row r="60" spans="1:7" x14ac:dyDescent="0.35">
      <c r="A60" s="6"/>
      <c r="B60" s="6"/>
    </row>
    <row r="61" spans="1:7" x14ac:dyDescent="0.35">
      <c r="A61" s="6"/>
      <c r="B61" s="6"/>
    </row>
  </sheetData>
  <mergeCells count="3">
    <mergeCell ref="A1:G1"/>
    <mergeCell ref="A2:G2"/>
    <mergeCell ref="A3:G3"/>
  </mergeCells>
  <conditionalFormatting sqref="A62:G78 E17:F20 A20:B21 A17:C19 K29:K35 J44 D17:D21 B18:G21 F17:G23 F44:G56 E45:E56 D51:D56 E22:G23 A5:G16 G39:G43 D57:G61 D35:E42 A46:B61 A22:A45 C22:D28 B22:B34 C24:C43 F25:G27 E34 D29:D34 G24:G34 F21:F42 E16:E32">
    <cfRule type="notContainsBlanks" dxfId="25" priority="6">
      <formula>LEN(TRIM(A5))&gt;0</formula>
    </cfRule>
  </conditionalFormatting>
  <conditionalFormatting sqref="A10:XFD10">
    <cfRule type="expression" priority="5">
      <formula>"ISBLANK($A$10:$E$10)+$A$10"</formula>
    </cfRule>
  </conditionalFormatting>
  <conditionalFormatting sqref="C11">
    <cfRule type="expression" priority="4">
      <formula>"ISBLANK($A$10:$E$10)+$A$10"</formula>
    </cfRule>
  </conditionalFormatting>
  <printOptions horizontalCentered="1"/>
  <pageMargins left="0" right="0" top="0.25" bottom="0" header="0.3" footer="0.3"/>
  <pageSetup fitToWidth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tWithMicrosoftPDFAndOpen">
                <anchor moveWithCells="1" sizeWithCells="1">
                  <from>
                    <xdr:col>9</xdr:col>
                    <xdr:colOff>203200</xdr:colOff>
                    <xdr:row>8</xdr:row>
                    <xdr:rowOff>165100</xdr:rowOff>
                  </from>
                  <to>
                    <xdr:col>13</xdr:col>
                    <xdr:colOff>495300</xdr:colOff>
                    <xdr:row>17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beginsWith" priority="7" operator="beginsWith" id="{1D881D71-28DE-43EB-9D5E-96DE20153315}">
            <xm:f>LEFT(A4,LEN('xml stats'!$D$2))='xml stats'!$D$2</xm:f>
            <xm:f>'xml stats'!$D$2</xm:f>
            <x14:dxf>
              <fill>
                <patternFill>
                  <bgColor rgb="FFF7DA21"/>
                </patternFill>
              </fill>
            </x14:dxf>
          </x14:cfRule>
          <xm:sqref>A4:G4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721D-6163-4F61-BFA8-161173FC728D}">
  <sheetPr codeName="Sheet1"/>
  <dimension ref="A1:AE13"/>
  <sheetViews>
    <sheetView workbookViewId="0">
      <selection sqref="A1:AE2"/>
    </sheetView>
  </sheetViews>
  <sheetFormatPr defaultColWidth="8.7265625" defaultRowHeight="14.5" x14ac:dyDescent="0.35"/>
  <cols>
    <col min="1" max="1" width="11.7265625" style="2" bestFit="1" customWidth="1"/>
    <col min="2" max="2" width="20.08984375" style="2" bestFit="1" customWidth="1"/>
    <col min="3" max="3" width="10.81640625" style="2" bestFit="1" customWidth="1"/>
    <col min="4" max="4" width="10.7265625" style="2" bestFit="1" customWidth="1"/>
    <col min="5" max="11" width="15.81640625" style="2" bestFit="1" customWidth="1"/>
    <col min="12" max="17" width="13.90625" style="2" bestFit="1" customWidth="1"/>
    <col min="18" max="18" width="14.54296875" style="2" bestFit="1" customWidth="1"/>
    <col min="19" max="19" width="10.54296875" style="2" bestFit="1" customWidth="1"/>
    <col min="20" max="20" width="17.7265625" style="2" bestFit="1" customWidth="1"/>
    <col min="21" max="21" width="18.26953125" style="2" bestFit="1" customWidth="1"/>
    <col min="22" max="22" width="10" style="2" bestFit="1" customWidth="1"/>
    <col min="23" max="23" width="13.7265625" style="2" bestFit="1" customWidth="1"/>
    <col min="24" max="24" width="13.54296875" style="2" bestFit="1" customWidth="1"/>
    <col min="25" max="25" width="13.6328125" style="2" bestFit="1" customWidth="1"/>
    <col min="26" max="26" width="9.54296875" style="2" bestFit="1" customWidth="1"/>
    <col min="27" max="27" width="9.26953125" style="2" bestFit="1" customWidth="1"/>
    <col min="28" max="28" width="8.7265625" style="2" bestFit="1" customWidth="1"/>
    <col min="29" max="29" width="9.7265625" style="2" bestFit="1" customWidth="1"/>
    <col min="30" max="30" width="12.26953125" style="2" bestFit="1" customWidth="1"/>
    <col min="31" max="32" width="10.7265625" style="2" bestFit="1" customWidth="1"/>
    <col min="33" max="33" width="10.453125" style="2" customWidth="1"/>
    <col min="34" max="34" width="10.453125" style="2" bestFit="1" customWidth="1"/>
    <col min="35" max="35" width="10.7265625" style="2" bestFit="1" customWidth="1"/>
    <col min="36" max="36" width="10.453125" style="2" bestFit="1" customWidth="1"/>
    <col min="37" max="37" width="10.7265625" style="2" bestFit="1" customWidth="1"/>
    <col min="38" max="38" width="10.7265625" style="2" customWidth="1"/>
    <col min="39" max="39" width="10.453125" style="2" bestFit="1" customWidth="1"/>
    <col min="40" max="40" width="10.7265625" style="2" bestFit="1" customWidth="1"/>
    <col min="41" max="41" width="10.7265625" style="2" customWidth="1"/>
    <col min="42" max="42" width="10.453125" style="2" bestFit="1" customWidth="1"/>
    <col min="43" max="43" width="10.453125" style="2" customWidth="1"/>
    <col min="44" max="46" width="10.453125" style="2" bestFit="1" customWidth="1"/>
    <col min="47" max="47" width="10.7265625" style="2" bestFit="1" customWidth="1"/>
    <col min="48" max="49" width="10.7265625" style="2" customWidth="1"/>
    <col min="50" max="51" width="10.453125" style="2" bestFit="1" customWidth="1"/>
    <col min="52" max="52" width="10.7265625" style="2" bestFit="1" customWidth="1"/>
    <col min="53" max="54" width="10.453125" style="2" customWidth="1"/>
    <col min="55" max="56" width="10.453125" style="2" bestFit="1" customWidth="1"/>
    <col min="57" max="59" width="10.453125" style="2" customWidth="1"/>
    <col min="60" max="60" width="10.453125" style="2" bestFit="1" customWidth="1"/>
    <col min="61" max="68" width="10.453125" style="2" customWidth="1"/>
    <col min="69" max="69" width="10.453125" style="2" bestFit="1" customWidth="1"/>
    <col min="70" max="74" width="10.453125" style="2" customWidth="1"/>
    <col min="75" max="75" width="10.453125" style="2" bestFit="1" customWidth="1"/>
    <col min="76" max="76" width="10.453125" style="2" customWidth="1"/>
    <col min="77" max="77" width="10.453125" style="2" bestFit="1" customWidth="1"/>
    <col min="78" max="78" width="10.453125" style="2" customWidth="1"/>
    <col min="79" max="79" width="10.453125" style="2" bestFit="1" customWidth="1"/>
    <col min="80" max="81" width="10.453125" style="2" customWidth="1"/>
    <col min="82" max="82" width="10.453125" style="2" bestFit="1" customWidth="1"/>
    <col min="83" max="83" width="10.453125" style="2" customWidth="1"/>
    <col min="84" max="84" width="10.7265625" style="2" bestFit="1" customWidth="1"/>
    <col min="85" max="85" width="10.453125" style="2" customWidth="1"/>
    <col min="86" max="86" width="10.7265625" style="2" bestFit="1" customWidth="1"/>
    <col min="87" max="87" width="10.453125" style="2" customWidth="1"/>
    <col min="88" max="89" width="10.453125" style="2" bestFit="1" customWidth="1"/>
    <col min="90" max="91" width="10.453125" style="2" customWidth="1"/>
    <col min="92" max="93" width="10.453125" style="2" bestFit="1" customWidth="1"/>
    <col min="94" max="94" width="10.453125" style="2" customWidth="1"/>
    <col min="95" max="95" width="10.7265625" style="2" bestFit="1" customWidth="1"/>
    <col min="96" max="96" width="10.453125" style="2" customWidth="1"/>
    <col min="97" max="97" width="10.453125" style="2" bestFit="1" customWidth="1"/>
    <col min="98" max="99" width="10.7265625" style="2" bestFit="1" customWidth="1"/>
    <col min="100" max="100" width="10.453125" style="2" bestFit="1" customWidth="1"/>
    <col min="101" max="102" width="10.7265625" style="2" bestFit="1" customWidth="1"/>
    <col min="103" max="103" width="10.453125" style="2" bestFit="1" customWidth="1"/>
    <col min="104" max="104" width="10.7265625" style="2" bestFit="1" customWidth="1"/>
    <col min="105" max="105" width="10.453125" style="2" bestFit="1" customWidth="1"/>
    <col min="106" max="106" width="10.7265625" style="2" bestFit="1" customWidth="1"/>
    <col min="107" max="107" width="10.7265625" style="2" customWidth="1"/>
    <col min="108" max="108" width="10.453125" style="2" bestFit="1" customWidth="1"/>
    <col min="109" max="109" width="10.7265625" style="2" customWidth="1"/>
    <col min="110" max="110" width="10.7265625" style="2" bestFit="1" customWidth="1"/>
    <col min="111" max="111" width="10.453125" style="2" bestFit="1" customWidth="1"/>
    <col min="112" max="113" width="10.453125" style="2" customWidth="1"/>
    <col min="114" max="114" width="10.453125" style="2" bestFit="1" customWidth="1"/>
    <col min="115" max="115" width="10.7265625" style="2" bestFit="1" customWidth="1"/>
    <col min="116" max="116" width="13.26953125" style="2" bestFit="1" customWidth="1"/>
    <col min="117" max="117" width="9.26953125" style="2" bestFit="1" customWidth="1"/>
    <col min="118" max="118" width="9" style="2" bestFit="1" customWidth="1"/>
    <col min="119" max="119" width="8.453125" style="2" bestFit="1" customWidth="1"/>
    <col min="120" max="120" width="9.26953125" style="2" bestFit="1" customWidth="1"/>
    <col min="121" max="121" width="11.81640625" style="2" bestFit="1" customWidth="1"/>
    <col min="122" max="122" width="10.453125" style="2" customWidth="1"/>
    <col min="123" max="16384" width="8.7265625" style="2"/>
  </cols>
  <sheetData>
    <row r="1" spans="1:31" x14ac:dyDescent="0.3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1" t="s">
        <v>26</v>
      </c>
      <c r="L1" t="s">
        <v>27</v>
      </c>
      <c r="M1" t="s">
        <v>28</v>
      </c>
      <c r="N1" t="s">
        <v>29</v>
      </c>
      <c r="O1" t="s">
        <v>30</v>
      </c>
      <c r="P1" t="s">
        <v>31</v>
      </c>
      <c r="Q1" t="s">
        <v>32</v>
      </c>
      <c r="R1" s="2" t="s">
        <v>10</v>
      </c>
      <c r="S1" t="s">
        <v>33</v>
      </c>
      <c r="T1" s="2" t="s">
        <v>11</v>
      </c>
      <c r="U1" s="2" t="s">
        <v>12</v>
      </c>
      <c r="V1" s="2" t="s">
        <v>13</v>
      </c>
      <c r="W1" s="2" t="s">
        <v>14</v>
      </c>
      <c r="X1" s="2" t="s">
        <v>15</v>
      </c>
      <c r="Y1" s="2" t="s">
        <v>16</v>
      </c>
      <c r="Z1" s="2" t="s">
        <v>17</v>
      </c>
      <c r="AA1" s="2" t="s">
        <v>18</v>
      </c>
      <c r="AB1" s="2" t="s">
        <v>19</v>
      </c>
      <c r="AC1" s="2" t="s">
        <v>20</v>
      </c>
      <c r="AD1" s="2" t="s">
        <v>21</v>
      </c>
      <c r="AE1" s="2" t="s">
        <v>22</v>
      </c>
    </row>
    <row r="2" spans="1:31" x14ac:dyDescent="0.35">
      <c r="A2" s="9">
        <v>45775</v>
      </c>
      <c r="B2" s="9">
        <v>45775</v>
      </c>
      <c r="C2" s="2" t="s">
        <v>39</v>
      </c>
      <c r="D2" s="2" t="s">
        <v>36</v>
      </c>
      <c r="E2" s="2" t="s">
        <v>40</v>
      </c>
      <c r="F2" s="2" t="s">
        <v>41</v>
      </c>
      <c r="G2" s="2" t="s">
        <v>42</v>
      </c>
      <c r="H2" s="2" t="s">
        <v>43</v>
      </c>
      <c r="I2" s="2" t="s">
        <v>44</v>
      </c>
      <c r="J2" s="2" t="s">
        <v>45</v>
      </c>
      <c r="K2" s="1" t="s">
        <v>46</v>
      </c>
      <c r="L2" t="s">
        <v>34</v>
      </c>
      <c r="M2" t="s">
        <v>47</v>
      </c>
      <c r="N2" t="s">
        <v>48</v>
      </c>
      <c r="O2" t="s">
        <v>35</v>
      </c>
      <c r="P2" t="s">
        <v>37</v>
      </c>
      <c r="Q2" t="s">
        <v>49</v>
      </c>
      <c r="R2" s="2">
        <v>28</v>
      </c>
      <c r="S2" t="s">
        <v>50</v>
      </c>
      <c r="T2" s="2">
        <v>1</v>
      </c>
      <c r="U2" s="2">
        <v>0</v>
      </c>
      <c r="V2" s="2" t="s">
        <v>51</v>
      </c>
      <c r="W2" s="2">
        <v>138</v>
      </c>
      <c r="X2" s="2">
        <v>3</v>
      </c>
      <c r="Y2" s="2">
        <v>7</v>
      </c>
      <c r="Z2" s="2">
        <v>11</v>
      </c>
      <c r="AA2" s="2">
        <v>21</v>
      </c>
      <c r="AB2" s="2">
        <v>34</v>
      </c>
      <c r="AC2" s="2">
        <v>55</v>
      </c>
      <c r="AD2" s="2">
        <v>69</v>
      </c>
      <c r="AE2" s="2">
        <v>97</v>
      </c>
    </row>
    <row r="7" spans="1:31" x14ac:dyDescent="0.35">
      <c r="J7" s="2" t="str" cm="1">
        <f t="array" ref="J7">SUBSTITUTE(xml_stats[letters],xml_stats[center],"")</f>
        <v>ADEINW</v>
      </c>
    </row>
    <row r="8" spans="1:31" x14ac:dyDescent="0.35">
      <c r="B8" s="5" cm="1">
        <f t="array" ref="B8">xml_stats[longdate]</f>
        <v>45775</v>
      </c>
      <c r="J8" s="2" t="str">
        <f>MID($J$7,1,1)</f>
        <v>A</v>
      </c>
    </row>
    <row r="9" spans="1:31" x14ac:dyDescent="0.35">
      <c r="J9" s="2" t="str">
        <f>MID($J$7,2,1)</f>
        <v>D</v>
      </c>
    </row>
    <row r="10" spans="1:31" x14ac:dyDescent="0.35">
      <c r="J10" s="2" t="str">
        <f>MID($J$7,3,1)</f>
        <v>E</v>
      </c>
    </row>
    <row r="11" spans="1:31" x14ac:dyDescent="0.35">
      <c r="J11" s="2" t="str">
        <f>MID($J$7,4,1)</f>
        <v>I</v>
      </c>
    </row>
    <row r="12" spans="1:31" x14ac:dyDescent="0.35">
      <c r="J12" s="2" t="str">
        <f>MID($J$7,5,1)</f>
        <v>N</v>
      </c>
    </row>
    <row r="13" spans="1:31" x14ac:dyDescent="0.35">
      <c r="J13" s="2" t="str">
        <f>MID($J$7,6,1)</f>
        <v>W</v>
      </c>
    </row>
  </sheetData>
  <phoneticPr fontId="2" type="noConversion"/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D26E-DBFF-4E2E-9206-C23D79C904DE}">
  <sheetPr codeName="Sheet2"/>
  <dimension ref="A1:Q50"/>
  <sheetViews>
    <sheetView tabSelected="1" workbookViewId="0">
      <selection sqref="A1:C52"/>
    </sheetView>
  </sheetViews>
  <sheetFormatPr defaultRowHeight="14.5" x14ac:dyDescent="0.35"/>
  <cols>
    <col min="1" max="1" width="11.6328125" bestFit="1" customWidth="1"/>
    <col min="2" max="2" width="12.7265625" bestFit="1" customWidth="1"/>
    <col min="3" max="3" width="15.26953125" bestFit="1" customWidth="1"/>
  </cols>
  <sheetData>
    <row r="1" spans="1:6" x14ac:dyDescent="0.35">
      <c r="A1" t="s">
        <v>23</v>
      </c>
      <c r="B1" t="s">
        <v>24</v>
      </c>
      <c r="C1" t="s">
        <v>25</v>
      </c>
    </row>
    <row r="2" spans="1:6" x14ac:dyDescent="0.35">
      <c r="A2" t="s">
        <v>34</v>
      </c>
      <c r="B2">
        <v>5</v>
      </c>
      <c r="C2" t="s">
        <v>53</v>
      </c>
    </row>
    <row r="3" spans="1:6" x14ac:dyDescent="0.35">
      <c r="A3" t="s">
        <v>47</v>
      </c>
      <c r="B3">
        <v>8</v>
      </c>
      <c r="C3" t="s">
        <v>54</v>
      </c>
    </row>
    <row r="4" spans="1:6" x14ac:dyDescent="0.35">
      <c r="A4" t="s">
        <v>47</v>
      </c>
      <c r="B4">
        <v>10</v>
      </c>
      <c r="C4" t="s">
        <v>54</v>
      </c>
    </row>
    <row r="5" spans="1:6" x14ac:dyDescent="0.35">
      <c r="A5" t="s">
        <v>36</v>
      </c>
      <c r="B5">
        <v>4</v>
      </c>
      <c r="C5" t="s">
        <v>38</v>
      </c>
    </row>
    <row r="6" spans="1:6" x14ac:dyDescent="0.35">
      <c r="A6" t="s">
        <v>36</v>
      </c>
      <c r="B6">
        <v>6</v>
      </c>
      <c r="C6" t="s">
        <v>38</v>
      </c>
    </row>
    <row r="7" spans="1:6" x14ac:dyDescent="0.35">
      <c r="A7" t="s">
        <v>36</v>
      </c>
      <c r="B7">
        <v>5</v>
      </c>
      <c r="C7" t="s">
        <v>38</v>
      </c>
    </row>
    <row r="8" spans="1:6" x14ac:dyDescent="0.35">
      <c r="A8" t="s">
        <v>36</v>
      </c>
      <c r="B8">
        <v>8</v>
      </c>
      <c r="C8" t="s">
        <v>52</v>
      </c>
    </row>
    <row r="9" spans="1:6" x14ac:dyDescent="0.35">
      <c r="A9" t="s">
        <v>36</v>
      </c>
      <c r="B9">
        <v>4</v>
      </c>
      <c r="C9" t="s">
        <v>52</v>
      </c>
    </row>
    <row r="10" spans="1:6" x14ac:dyDescent="0.35">
      <c r="A10" t="s">
        <v>36</v>
      </c>
      <c r="B10">
        <v>6</v>
      </c>
      <c r="C10" t="s">
        <v>52</v>
      </c>
    </row>
    <row r="11" spans="1:6" x14ac:dyDescent="0.35">
      <c r="A11" t="s">
        <v>36</v>
      </c>
      <c r="B11">
        <v>4</v>
      </c>
      <c r="C11" t="s">
        <v>52</v>
      </c>
    </row>
    <row r="12" spans="1:6" x14ac:dyDescent="0.35">
      <c r="A12" t="s">
        <v>36</v>
      </c>
      <c r="B12">
        <v>6</v>
      </c>
      <c r="C12" t="s">
        <v>52</v>
      </c>
    </row>
    <row r="13" spans="1:6" x14ac:dyDescent="0.35">
      <c r="A13" t="s">
        <v>36</v>
      </c>
      <c r="B13">
        <v>6</v>
      </c>
      <c r="C13" t="s">
        <v>52</v>
      </c>
    </row>
    <row r="14" spans="1:6" x14ac:dyDescent="0.35">
      <c r="A14" t="s">
        <v>36</v>
      </c>
      <c r="B14">
        <v>8</v>
      </c>
      <c r="C14" t="s">
        <v>52</v>
      </c>
    </row>
    <row r="15" spans="1:6" x14ac:dyDescent="0.35">
      <c r="A15" t="s">
        <v>36</v>
      </c>
      <c r="B15">
        <v>6</v>
      </c>
      <c r="C15" t="s">
        <v>52</v>
      </c>
      <c r="F15" t="str" cm="1">
        <f t="array" ref="F15:F42">xml_words[firsttwoletters]</f>
        <v>AH</v>
      </c>
    </row>
    <row r="16" spans="1:6" x14ac:dyDescent="0.35">
      <c r="A16" t="s">
        <v>36</v>
      </c>
      <c r="B16">
        <v>5</v>
      </c>
      <c r="C16" t="s">
        <v>52</v>
      </c>
      <c r="F16" t="str">
        <v>DE</v>
      </c>
    </row>
    <row r="17" spans="1:6" x14ac:dyDescent="0.35">
      <c r="A17" t="s">
        <v>36</v>
      </c>
      <c r="B17">
        <v>7</v>
      </c>
      <c r="C17" t="s">
        <v>52</v>
      </c>
      <c r="F17" t="str">
        <v>DE</v>
      </c>
    </row>
    <row r="18" spans="1:6" x14ac:dyDescent="0.35">
      <c r="A18" t="s">
        <v>36</v>
      </c>
      <c r="B18">
        <v>5</v>
      </c>
      <c r="C18" t="s">
        <v>52</v>
      </c>
      <c r="F18" t="str">
        <v>HA</v>
      </c>
    </row>
    <row r="19" spans="1:6" x14ac:dyDescent="0.35">
      <c r="A19" t="s">
        <v>36</v>
      </c>
      <c r="B19">
        <v>4</v>
      </c>
      <c r="C19" t="s">
        <v>52</v>
      </c>
      <c r="F19" t="str">
        <v>HA</v>
      </c>
    </row>
    <row r="20" spans="1:6" x14ac:dyDescent="0.35">
      <c r="A20" t="s">
        <v>36</v>
      </c>
      <c r="B20">
        <v>6</v>
      </c>
      <c r="C20" t="s">
        <v>55</v>
      </c>
      <c r="F20" t="str">
        <v>HA</v>
      </c>
    </row>
    <row r="21" spans="1:6" x14ac:dyDescent="0.35">
      <c r="A21" t="s">
        <v>36</v>
      </c>
      <c r="B21">
        <v>4</v>
      </c>
      <c r="C21" t="s">
        <v>55</v>
      </c>
      <c r="F21" t="str">
        <v>HE</v>
      </c>
    </row>
    <row r="22" spans="1:6" x14ac:dyDescent="0.35">
      <c r="A22" t="s">
        <v>36</v>
      </c>
      <c r="B22">
        <v>4</v>
      </c>
      <c r="C22" t="s">
        <v>55</v>
      </c>
      <c r="F22" t="str">
        <v>HE</v>
      </c>
    </row>
    <row r="23" spans="1:6" x14ac:dyDescent="0.35">
      <c r="A23" t="s">
        <v>49</v>
      </c>
      <c r="B23">
        <v>6</v>
      </c>
      <c r="C23" t="s">
        <v>56</v>
      </c>
      <c r="F23" t="str">
        <v>HE</v>
      </c>
    </row>
    <row r="24" spans="1:6" x14ac:dyDescent="0.35">
      <c r="A24" t="s">
        <v>49</v>
      </c>
      <c r="B24">
        <v>4</v>
      </c>
      <c r="C24" t="s">
        <v>57</v>
      </c>
      <c r="F24" t="str">
        <v>HE</v>
      </c>
    </row>
    <row r="25" spans="1:6" x14ac:dyDescent="0.35">
      <c r="A25" t="s">
        <v>49</v>
      </c>
      <c r="B25">
        <v>4</v>
      </c>
      <c r="C25" t="s">
        <v>57</v>
      </c>
      <c r="F25" t="str">
        <v>HE</v>
      </c>
    </row>
    <row r="26" spans="1:6" x14ac:dyDescent="0.35">
      <c r="A26" t="s">
        <v>49</v>
      </c>
      <c r="B26">
        <v>4</v>
      </c>
      <c r="C26" t="s">
        <v>57</v>
      </c>
      <c r="F26" t="str">
        <v>HE</v>
      </c>
    </row>
    <row r="27" spans="1:6" x14ac:dyDescent="0.35">
      <c r="A27" t="s">
        <v>49</v>
      </c>
      <c r="B27">
        <v>5</v>
      </c>
      <c r="C27" t="s">
        <v>57</v>
      </c>
      <c r="F27" t="str">
        <v>HE</v>
      </c>
    </row>
    <row r="28" spans="1:6" x14ac:dyDescent="0.35">
      <c r="A28" t="s">
        <v>49</v>
      </c>
      <c r="B28">
        <v>6</v>
      </c>
      <c r="C28" t="s">
        <v>57</v>
      </c>
      <c r="F28" t="str">
        <v>HE</v>
      </c>
    </row>
    <row r="29" spans="1:6" x14ac:dyDescent="0.35">
      <c r="A29" t="s">
        <v>49</v>
      </c>
      <c r="B29">
        <v>8</v>
      </c>
      <c r="C29" t="s">
        <v>57</v>
      </c>
      <c r="F29" t="str">
        <v>HE</v>
      </c>
    </row>
    <row r="30" spans="1:6" x14ac:dyDescent="0.35">
      <c r="F30" t="str">
        <v>HE</v>
      </c>
    </row>
    <row r="31" spans="1:6" x14ac:dyDescent="0.35">
      <c r="F31" t="str">
        <v>HE</v>
      </c>
    </row>
    <row r="32" spans="1:6" x14ac:dyDescent="0.35">
      <c r="F32" t="str">
        <v>HE</v>
      </c>
    </row>
    <row r="33" spans="6:17" x14ac:dyDescent="0.35">
      <c r="F33" t="str">
        <v>HI</v>
      </c>
    </row>
    <row r="34" spans="6:17" x14ac:dyDescent="0.35">
      <c r="F34" t="str">
        <v>HI</v>
      </c>
    </row>
    <row r="35" spans="6:17" x14ac:dyDescent="0.35">
      <c r="F35" t="str">
        <v>HI</v>
      </c>
    </row>
    <row r="36" spans="6:17" x14ac:dyDescent="0.35">
      <c r="F36" t="str">
        <v>WA</v>
      </c>
    </row>
    <row r="37" spans="6:17" x14ac:dyDescent="0.35">
      <c r="F37" t="str">
        <v>WH</v>
      </c>
    </row>
    <row r="38" spans="6:17" x14ac:dyDescent="0.35">
      <c r="F38" t="str">
        <v>WH</v>
      </c>
    </row>
    <row r="39" spans="6:17" x14ac:dyDescent="0.35">
      <c r="F39" t="str">
        <v>WH</v>
      </c>
    </row>
    <row r="40" spans="6:17" x14ac:dyDescent="0.35">
      <c r="F40" t="str">
        <v>WH</v>
      </c>
    </row>
    <row r="41" spans="6:17" x14ac:dyDescent="0.35">
      <c r="F41" t="str">
        <v>WH</v>
      </c>
    </row>
    <row r="42" spans="6:17" x14ac:dyDescent="0.35">
      <c r="F42" t="str">
        <v>WH</v>
      </c>
    </row>
    <row r="44" spans="6:17" x14ac:dyDescent="0.35">
      <c r="Q44" t="str">
        <f t="shared" ref="Q44:Q50" si="0">LEFT(O44,1)</f>
        <v/>
      </c>
    </row>
    <row r="45" spans="6:17" x14ac:dyDescent="0.35">
      <c r="Q45" t="str">
        <f t="shared" si="0"/>
        <v/>
      </c>
    </row>
    <row r="46" spans="6:17" x14ac:dyDescent="0.35">
      <c r="Q46" t="str">
        <f t="shared" si="0"/>
        <v/>
      </c>
    </row>
    <row r="47" spans="6:17" x14ac:dyDescent="0.35">
      <c r="Q47" t="str">
        <f t="shared" si="0"/>
        <v/>
      </c>
    </row>
    <row r="48" spans="6:17" x14ac:dyDescent="0.35">
      <c r="Q48" t="str">
        <f t="shared" si="0"/>
        <v/>
      </c>
    </row>
    <row r="49" spans="17:17" x14ac:dyDescent="0.35">
      <c r="Q49" t="str">
        <f t="shared" si="0"/>
        <v/>
      </c>
    </row>
    <row r="50" spans="17:17" x14ac:dyDescent="0.35">
      <c r="Q50" t="str">
        <f t="shared" si="0"/>
        <v/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DA37602-7995-44D1-A39D-50B48232284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WORKSHEET</vt:lpstr>
      <vt:lpstr>xml stats</vt:lpstr>
      <vt:lpstr>xml words</vt:lpstr>
      <vt:lpstr>WORKSHEET!center</vt:lpstr>
      <vt:lpstr>center</vt:lpstr>
      <vt:lpstr>WORKSHEET!Print_Area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Kolb</dc:creator>
  <cp:lastModifiedBy>Steve Hartnett</cp:lastModifiedBy>
  <cp:lastPrinted>2025-04-27T07:46:13Z</cp:lastPrinted>
  <dcterms:created xsi:type="dcterms:W3CDTF">2023-09-11T23:02:32Z</dcterms:created>
  <dcterms:modified xsi:type="dcterms:W3CDTF">2025-04-29T04:18:48Z</dcterms:modified>
</cp:coreProperties>
</file>